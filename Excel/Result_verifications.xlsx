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US-EV-Market_Share_EDA\Excel\"/>
    </mc:Choice>
  </mc:AlternateContent>
  <xr:revisionPtr revIDLastSave="0" documentId="13_ncr:1_{C1F32BE4-1EC1-46EB-904E-885A6957E6F5}" xr6:coauthVersionLast="47" xr6:coauthVersionMax="47" xr10:uidLastSave="{00000000-0000-0000-0000-000000000000}"/>
  <bookViews>
    <workbookView xWindow="-110" yWindow="-110" windowWidth="19420" windowHeight="11020" xr2:uid="{37D4BD1B-EFA8-48B0-94E7-16BBE874FF75}"/>
  </bookViews>
  <sheets>
    <sheet name="Result_verif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AP3" i="1"/>
  <c r="AB3" i="1"/>
  <c r="AA3" i="1"/>
  <c r="Z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3" i="1"/>
  <c r="Q7" i="1"/>
  <c r="Q19" i="1"/>
  <c r="Q31" i="1"/>
  <c r="Q35" i="1"/>
  <c r="Q36" i="1"/>
  <c r="Q4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3" i="1"/>
  <c r="O4" i="1"/>
  <c r="Q4" i="1" s="1"/>
  <c r="O5" i="1"/>
  <c r="Q5" i="1" s="1"/>
  <c r="O6" i="1"/>
  <c r="Q6" i="1" s="1"/>
  <c r="O7" i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O32" i="1"/>
  <c r="Q32" i="1" s="1"/>
  <c r="O33" i="1"/>
  <c r="Q33" i="1" s="1"/>
  <c r="O34" i="1"/>
  <c r="Q34" i="1" s="1"/>
  <c r="O35" i="1"/>
  <c r="O36" i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3" i="1"/>
</calcChain>
</file>

<file path=xl/sharedStrings.xml><?xml version="1.0" encoding="utf-8"?>
<sst xmlns="http://schemas.openxmlformats.org/spreadsheetml/2006/main" count="150" uniqueCount="79">
  <si>
    <t>Percentage of vehicles that are EV, PHEV, HEV and gasoline</t>
  </si>
  <si>
    <t>Top / Bottom 5 states based on EV adoption rate</t>
  </si>
  <si>
    <t>Percentage of vehicles that run on biodiesel, ethanol and hydrogen across the US</t>
  </si>
  <si>
    <t>EV adoption in California VS Texas, New York, and Florida</t>
  </si>
  <si>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</si>
  <si>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</si>
  <si>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</si>
  <si>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</si>
  <si>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</si>
  <si>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</si>
  <si>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</si>
  <si>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</si>
  <si>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</si>
  <si>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</si>
  <si>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</si>
  <si>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</si>
  <si>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</si>
  <si>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EV</t>
  </si>
  <si>
    <t>PHEV</t>
  </si>
  <si>
    <t>HEV</t>
  </si>
  <si>
    <t>Adoption%</t>
  </si>
  <si>
    <t>Biodiesel%</t>
  </si>
  <si>
    <t>Ethanol%</t>
  </si>
  <si>
    <t>Hydrogen%</t>
  </si>
  <si>
    <t>Alabama</t>
  </si>
  <si>
    <t>California</t>
  </si>
  <si>
    <t>North Dakota</t>
  </si>
  <si>
    <t>Alaska</t>
  </si>
  <si>
    <t>District of Columbia</t>
  </si>
  <si>
    <t>Mississippi</t>
  </si>
  <si>
    <t>Texas</t>
  </si>
  <si>
    <t>Arizona</t>
  </si>
  <si>
    <t>Hawaii</t>
  </si>
  <si>
    <t>Wyoming</t>
  </si>
  <si>
    <t>New York</t>
  </si>
  <si>
    <t>Arkansas</t>
  </si>
  <si>
    <t>Washington</t>
  </si>
  <si>
    <t>South Dakota</t>
  </si>
  <si>
    <t>Florida</t>
  </si>
  <si>
    <t>Nevada</t>
  </si>
  <si>
    <t>West Virginia</t>
  </si>
  <si>
    <t>Colorado</t>
  </si>
  <si>
    <t>Connecticut</t>
  </si>
  <si>
    <t>Delaware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</si>
  <si>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</si>
  <si>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</si>
  <si>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</si>
  <si>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</si>
  <si>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</si>
  <si>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</si>
  <si>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</si>
  <si>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</si>
  <si>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</si>
  <si>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</si>
  <si>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</si>
  <si>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</si>
  <si>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</si>
  <si>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</si>
  <si>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</si>
  <si>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</si>
  <si>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</si>
  <si>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</si>
  <si>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</si>
  <si>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</si>
  <si>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</si>
  <si>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</si>
  <si>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</si>
  <si>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</si>
  <si>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</si>
  <si>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</si>
  <si>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</si>
  <si>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Utah</t>
  </si>
  <si>
    <t>Vermont</t>
  </si>
  <si>
    <t>Virginia</t>
  </si>
  <si>
    <t>Wisconsin</t>
  </si>
  <si>
    <t>State EV adoption rate VS national adoption rate</t>
  </si>
  <si>
    <t>State rate</t>
  </si>
  <si>
    <t>National rate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</si>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</sst>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10" fontId="0" fillId="33" borderId="0" xfId="0" applyNumberFormat="1" applyFill="1"/>
    <xf numFmtId="0" fontId="0" fillId="34" borderId="0" xfId="0" applyFill="1"/>
    <xf numFmtId="10" fontId="0" fillId="34" borderId="0" xfId="0" applyNumberFormat="1" applyFill="1"/>
    <xf numFmtId="0" fontId="0" fillId="35" borderId="0" xfId="0" applyFill="1"/>
    <xf numFmtId="10" fontId="0" fillId="35" borderId="0" xfId="0" applyNumberFormat="1" applyFill="1"/>
    <xf numFmtId="0" fontId="0" fillId="36" borderId="0" xfId="0" applyFill="1"/>
    <xf numFmtId="10" fontId="0" fillId="36" borderId="0" xfId="0" applyNumberFormat="1" applyFill="1"/>
    <xf numFmtId="0" fontId="0" fillId="37" borderId="0" xfId="0" applyFill="1"/>
    <xf numFmtId="10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A2C9-8427-44C3-8D4E-A4F0A5BF90AB}">
  <dimension ref="A1:AQ53"/>
  <sheetViews>
    <sheetView tabSelected="1" topLeftCell="K1" workbookViewId="0">
      <selection activeCell="B3" sqref="B3:M53"/>
    </sheetView>
  </sheetViews>
  <sheetFormatPr defaultRowHeight="14.5" x14ac:dyDescent="0.35"/>
  <cols>
    <col min="15" max="20" width="8.7265625" style="1"/>
    <col min="21" max="25" width="8.7265625" style="3"/>
    <col min="26" max="33" width="8.7265625" style="5"/>
    <col min="34" max="39" width="8.7265625" style="7"/>
    <col min="40" max="40" width="19.81640625" style="9" customWidth="1"/>
    <col min="41" max="41" width="8.7265625" style="9"/>
    <col min="42" max="42" width="11.6328125" style="9" bestFit="1" customWidth="1"/>
    <col min="43" max="43" width="9.453125" style="9" bestFit="1" customWidth="1"/>
  </cols>
  <sheetData>
    <row r="1" spans="1:43" x14ac:dyDescent="0.35">
      <c r="O1" s="1" t="s">
        <v>0</v>
      </c>
      <c r="U1" s="3" t="s">
        <v>1</v>
      </c>
      <c r="Z1" s="5" t="s">
        <v>2</v>
      </c>
      <c r="AH1" s="7" t="s">
        <v>3</v>
      </c>
      <c r="AN1" s="9" t="s">
        <v>75</v>
      </c>
    </row>
    <row r="2" spans="1:43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O2" s="1" t="s">
        <v>17</v>
      </c>
      <c r="P2" s="1" t="s">
        <v>18</v>
      </c>
      <c r="Q2" s="1" t="s">
        <v>19</v>
      </c>
      <c r="R2" s="1" t="s">
        <v>14</v>
      </c>
      <c r="U2" s="3" t="s">
        <v>4</v>
      </c>
      <c r="V2" s="3" t="s">
        <v>20</v>
      </c>
      <c r="W2" s="3" t="s">
        <v>4</v>
      </c>
      <c r="X2" s="3" t="s">
        <v>20</v>
      </c>
      <c r="Z2" s="5" t="s">
        <v>21</v>
      </c>
      <c r="AA2" s="5" t="s">
        <v>22</v>
      </c>
      <c r="AB2" s="5" t="s">
        <v>23</v>
      </c>
      <c r="AH2" s="7" t="s">
        <v>4</v>
      </c>
      <c r="AN2" s="9" t="s">
        <v>4</v>
      </c>
      <c r="AO2" s="9" t="s">
        <v>76</v>
      </c>
      <c r="AP2" s="9" t="s">
        <v>77</v>
      </c>
      <c r="AQ2" s="9" t="s">
        <v>78</v>
      </c>
    </row>
    <row r="3" spans="1:43" x14ac:dyDescent="0.35">
      <c r="A3" t="s">
        <v>24</v>
      </c>
      <c r="B3">
        <v>13000</v>
      </c>
      <c r="C3">
        <v>5800</v>
      </c>
      <c r="D3">
        <v>63300</v>
      </c>
      <c r="E3">
        <v>54200</v>
      </c>
      <c r="F3">
        <v>441200</v>
      </c>
      <c r="G3">
        <v>100</v>
      </c>
      <c r="H3">
        <v>100</v>
      </c>
      <c r="I3">
        <v>0</v>
      </c>
      <c r="J3">
        <v>0</v>
      </c>
      <c r="K3">
        <v>4102200</v>
      </c>
      <c r="L3">
        <v>127000</v>
      </c>
      <c r="M3">
        <v>29000</v>
      </c>
      <c r="O3" s="2">
        <f>B3/SUM(B3:M3)</f>
        <v>2.6882276308443104E-3</v>
      </c>
      <c r="P3" s="2">
        <f>C3/SUM(C3:N3)</f>
        <v>1.2025959484957183E-3</v>
      </c>
      <c r="Q3" s="2">
        <f>D3/SUM(D3:O3)</f>
        <v>1.3140686297705019E-2</v>
      </c>
      <c r="R3" s="2">
        <f>K3/SUM(B3:M3)</f>
        <v>0.84828056824996378</v>
      </c>
      <c r="U3" s="3" t="s">
        <v>25</v>
      </c>
      <c r="V3" s="4">
        <v>3.4099999999999998E-2</v>
      </c>
      <c r="W3" s="3" t="s">
        <v>26</v>
      </c>
      <c r="X3" s="4">
        <v>1.2999999999999999E-3</v>
      </c>
      <c r="Z3" s="6">
        <f>SUM(E3:E53)/SUM(B3:M53)</f>
        <v>9.7653576410719044E-3</v>
      </c>
      <c r="AA3" s="6">
        <f>SUM(F3:F53)/SUM(B3:M53)</f>
        <v>7.0501033624582682E-2</v>
      </c>
      <c r="AB3" s="6">
        <f>SUM(I3:I53)/SUM(B3:M53)</f>
        <v>5.8865224758922519E-5</v>
      </c>
      <c r="AH3" s="7" t="s">
        <v>25</v>
      </c>
      <c r="AI3" s="8">
        <v>3.4099999999999998E-2</v>
      </c>
      <c r="AN3" s="9" t="s">
        <v>24</v>
      </c>
      <c r="AO3" s="10">
        <v>2.7000000000000001E-3</v>
      </c>
      <c r="AP3" s="10">
        <f>SUM(B3:B53)/SUM(B3:M53)</f>
        <v>1.2385730930192461E-2</v>
      </c>
      <c r="AQ3" s="10">
        <f>AO3-AP3</f>
        <v>-9.6857309301924613E-3</v>
      </c>
    </row>
    <row r="4" spans="1:43" x14ac:dyDescent="0.35">
      <c r="A4" t="s">
        <v>27</v>
      </c>
      <c r="B4">
        <v>2700</v>
      </c>
      <c r="C4">
        <v>900</v>
      </c>
      <c r="D4">
        <v>10600</v>
      </c>
      <c r="E4">
        <v>9600</v>
      </c>
      <c r="F4">
        <v>46800</v>
      </c>
      <c r="G4">
        <v>0</v>
      </c>
      <c r="H4">
        <v>0</v>
      </c>
      <c r="I4">
        <v>0</v>
      </c>
      <c r="J4">
        <v>0</v>
      </c>
      <c r="K4">
        <v>454300</v>
      </c>
      <c r="L4">
        <v>29800</v>
      </c>
      <c r="M4">
        <v>5100</v>
      </c>
      <c r="O4" s="2">
        <f t="shared" ref="O4:O53" si="0">B4/SUM(B4:M4)</f>
        <v>4.8231511254019296E-3</v>
      </c>
      <c r="P4" s="2">
        <f t="shared" ref="P4:P53" si="1">C4/SUM(C4:N4)</f>
        <v>1.6155088852988692E-3</v>
      </c>
      <c r="Q4" s="2">
        <f t="shared" ref="Q4:Q53" si="2">D4/SUM(D4:O4)</f>
        <v>1.905789267903794E-2</v>
      </c>
      <c r="R4" s="2">
        <f t="shared" ref="R4:R53" si="3">K4/SUM(B4:M4)</f>
        <v>0.81153983565559129</v>
      </c>
      <c r="U4" s="3" t="s">
        <v>28</v>
      </c>
      <c r="V4" s="4">
        <v>2.5999999999999999E-2</v>
      </c>
      <c r="W4" s="3" t="s">
        <v>29</v>
      </c>
      <c r="X4" s="4">
        <v>1.2999999999999999E-3</v>
      </c>
      <c r="AH4" s="7" t="s">
        <v>30</v>
      </c>
      <c r="AI4" s="8">
        <v>8.8999999999999999E-3</v>
      </c>
      <c r="AN4" s="9" t="s">
        <v>27</v>
      </c>
      <c r="AO4" s="10">
        <v>4.7999999999999996E-3</v>
      </c>
      <c r="AP4" s="10">
        <v>1.2385730930192461E-2</v>
      </c>
      <c r="AQ4" s="10">
        <f t="shared" ref="AQ4:AQ53" si="4">AO4-AP4</f>
        <v>-7.585730930192461E-3</v>
      </c>
    </row>
    <row r="5" spans="1:43" x14ac:dyDescent="0.35">
      <c r="A5" t="s">
        <v>31</v>
      </c>
      <c r="B5">
        <v>89800</v>
      </c>
      <c r="C5">
        <v>25600</v>
      </c>
      <c r="D5">
        <v>175700</v>
      </c>
      <c r="E5">
        <v>68600</v>
      </c>
      <c r="F5">
        <v>437100</v>
      </c>
      <c r="G5">
        <v>600</v>
      </c>
      <c r="H5">
        <v>700</v>
      </c>
      <c r="I5">
        <v>0</v>
      </c>
      <c r="J5">
        <v>0</v>
      </c>
      <c r="K5">
        <v>5469000</v>
      </c>
      <c r="L5">
        <v>197700</v>
      </c>
      <c r="M5">
        <v>64200</v>
      </c>
      <c r="O5" s="2">
        <f t="shared" si="0"/>
        <v>1.3754020523816817E-2</v>
      </c>
      <c r="P5" s="2">
        <f t="shared" si="1"/>
        <v>3.9756491489626039E-3</v>
      </c>
      <c r="Q5" s="2">
        <f t="shared" si="2"/>
        <v>2.7394910755770524E-2</v>
      </c>
      <c r="R5" s="2">
        <f t="shared" si="3"/>
        <v>0.83764741920661667</v>
      </c>
      <c r="U5" s="3" t="s">
        <v>32</v>
      </c>
      <c r="V5" s="4">
        <v>2.3699999999999999E-2</v>
      </c>
      <c r="W5" s="3" t="s">
        <v>33</v>
      </c>
      <c r="X5" s="4">
        <v>1.6999999999999999E-3</v>
      </c>
      <c r="AH5" s="7" t="s">
        <v>34</v>
      </c>
      <c r="AI5" s="8">
        <v>1.1599999999999999E-2</v>
      </c>
      <c r="AN5" s="9" t="s">
        <v>31</v>
      </c>
      <c r="AO5" s="10">
        <v>1.38E-2</v>
      </c>
      <c r="AP5" s="10">
        <v>1.2385730930192461E-2</v>
      </c>
      <c r="AQ5" s="10">
        <f t="shared" si="4"/>
        <v>1.4142690698075392E-3</v>
      </c>
    </row>
    <row r="6" spans="1:43" x14ac:dyDescent="0.35">
      <c r="A6" t="s">
        <v>35</v>
      </c>
      <c r="B6">
        <v>7100</v>
      </c>
      <c r="C6">
        <v>3200</v>
      </c>
      <c r="D6">
        <v>37000</v>
      </c>
      <c r="E6">
        <v>37000</v>
      </c>
      <c r="F6">
        <v>276700</v>
      </c>
      <c r="G6">
        <v>200</v>
      </c>
      <c r="H6">
        <v>0</v>
      </c>
      <c r="I6">
        <v>0</v>
      </c>
      <c r="J6">
        <v>0</v>
      </c>
      <c r="K6">
        <v>2246100</v>
      </c>
      <c r="L6">
        <v>90700</v>
      </c>
      <c r="M6">
        <v>10300</v>
      </c>
      <c r="O6" s="2">
        <f t="shared" si="0"/>
        <v>2.6215707270243328E-3</v>
      </c>
      <c r="P6" s="2">
        <f t="shared" si="1"/>
        <v>1.1846586702206428E-3</v>
      </c>
      <c r="Q6" s="2">
        <f t="shared" si="2"/>
        <v>1.3713862106763581E-2</v>
      </c>
      <c r="R6" s="2">
        <f t="shared" si="3"/>
        <v>0.82933943802385257</v>
      </c>
      <c r="U6" s="3" t="s">
        <v>36</v>
      </c>
      <c r="V6" s="4">
        <v>2.23E-2</v>
      </c>
      <c r="W6" s="3" t="s">
        <v>37</v>
      </c>
      <c r="X6" s="4">
        <v>1.9E-3</v>
      </c>
      <c r="AH6" s="7" t="s">
        <v>38</v>
      </c>
      <c r="AI6" s="8">
        <v>1.37E-2</v>
      </c>
      <c r="AN6" s="9" t="s">
        <v>35</v>
      </c>
      <c r="AO6" s="10">
        <v>2.5999999999999999E-3</v>
      </c>
      <c r="AP6" s="10">
        <v>1.2385730930192461E-2</v>
      </c>
      <c r="AQ6" s="10">
        <f t="shared" si="4"/>
        <v>-9.7857309301924607E-3</v>
      </c>
    </row>
    <row r="7" spans="1:43" x14ac:dyDescent="0.35">
      <c r="A7" t="s">
        <v>25</v>
      </c>
      <c r="B7">
        <v>1256600</v>
      </c>
      <c r="C7">
        <v>410700</v>
      </c>
      <c r="D7">
        <v>1703200</v>
      </c>
      <c r="E7">
        <v>201600</v>
      </c>
      <c r="F7">
        <v>1314600</v>
      </c>
      <c r="G7">
        <v>10100</v>
      </c>
      <c r="H7">
        <v>1500</v>
      </c>
      <c r="I7">
        <v>16900</v>
      </c>
      <c r="J7">
        <v>0</v>
      </c>
      <c r="K7">
        <v>31191900</v>
      </c>
      <c r="L7">
        <v>735300</v>
      </c>
      <c r="M7">
        <v>7900</v>
      </c>
      <c r="O7" s="2">
        <f t="shared" si="0"/>
        <v>3.410012944263683E-2</v>
      </c>
      <c r="P7" s="2">
        <f t="shared" si="1"/>
        <v>1.1538558789898212E-2</v>
      </c>
      <c r="Q7" s="2">
        <f t="shared" si="2"/>
        <v>4.840974329503514E-2</v>
      </c>
      <c r="R7" s="2">
        <f t="shared" si="3"/>
        <v>0.84644901126992178</v>
      </c>
      <c r="U7" s="3" t="s">
        <v>39</v>
      </c>
      <c r="V7" s="4">
        <v>1.8499999999999999E-2</v>
      </c>
      <c r="W7" s="3" t="s">
        <v>40</v>
      </c>
      <c r="X7" s="4">
        <v>1.9E-3</v>
      </c>
      <c r="AN7" s="9" t="s">
        <v>25</v>
      </c>
      <c r="AO7" s="10">
        <v>3.4099999999999998E-2</v>
      </c>
      <c r="AP7" s="10">
        <v>1.2385730930192461E-2</v>
      </c>
      <c r="AQ7" s="10">
        <f t="shared" si="4"/>
        <v>2.1714269069807536E-2</v>
      </c>
    </row>
    <row r="8" spans="1:43" x14ac:dyDescent="0.35">
      <c r="A8" t="s">
        <v>41</v>
      </c>
      <c r="B8">
        <v>90100</v>
      </c>
      <c r="C8">
        <v>37500</v>
      </c>
      <c r="D8">
        <v>152700</v>
      </c>
      <c r="E8">
        <v>68100</v>
      </c>
      <c r="F8">
        <v>334300</v>
      </c>
      <c r="G8">
        <v>300</v>
      </c>
      <c r="H8">
        <v>100</v>
      </c>
      <c r="I8">
        <v>0</v>
      </c>
      <c r="J8">
        <v>0</v>
      </c>
      <c r="K8">
        <v>4508800</v>
      </c>
      <c r="L8">
        <v>203400</v>
      </c>
      <c r="M8">
        <v>46500</v>
      </c>
      <c r="O8" s="2">
        <f t="shared" si="0"/>
        <v>1.6557021573743981E-2</v>
      </c>
      <c r="P8" s="2">
        <f t="shared" si="1"/>
        <v>7.0071192331408712E-3</v>
      </c>
      <c r="Q8" s="2">
        <f t="shared" si="2"/>
        <v>2.8734334335223551E-2</v>
      </c>
      <c r="R8" s="2">
        <f t="shared" si="3"/>
        <v>0.82854937704436027</v>
      </c>
      <c r="AN8" s="9" t="s">
        <v>41</v>
      </c>
      <c r="AO8" s="10">
        <v>1.66E-2</v>
      </c>
      <c r="AP8" s="10">
        <v>1.2385730930192461E-2</v>
      </c>
      <c r="AQ8" s="10">
        <f t="shared" si="4"/>
        <v>4.2142690698075396E-3</v>
      </c>
    </row>
    <row r="9" spans="1:43" x14ac:dyDescent="0.35">
      <c r="A9" t="s">
        <v>42</v>
      </c>
      <c r="B9">
        <v>31600</v>
      </c>
      <c r="C9">
        <v>18400</v>
      </c>
      <c r="D9">
        <v>75300</v>
      </c>
      <c r="E9">
        <v>10900</v>
      </c>
      <c r="F9">
        <v>133600</v>
      </c>
      <c r="G9">
        <v>100</v>
      </c>
      <c r="H9">
        <v>0</v>
      </c>
      <c r="I9">
        <v>0</v>
      </c>
      <c r="J9">
        <v>0</v>
      </c>
      <c r="K9">
        <v>2612600</v>
      </c>
      <c r="L9">
        <v>42300</v>
      </c>
      <c r="M9">
        <v>20900</v>
      </c>
      <c r="O9" s="2">
        <f t="shared" si="0"/>
        <v>1.072750110330312E-2</v>
      </c>
      <c r="P9" s="2">
        <f t="shared" si="1"/>
        <v>6.314127861089187E-3</v>
      </c>
      <c r="Q9" s="2">
        <f t="shared" si="2"/>
        <v>2.6004074911434631E-2</v>
      </c>
      <c r="R9" s="2">
        <f t="shared" si="3"/>
        <v>0.8869199171673966</v>
      </c>
      <c r="AN9" s="9" t="s">
        <v>42</v>
      </c>
      <c r="AO9" s="10">
        <v>1.0699999999999999E-2</v>
      </c>
      <c r="AP9" s="10">
        <v>1.2385730930192461E-2</v>
      </c>
      <c r="AQ9" s="10">
        <f t="shared" si="4"/>
        <v>-1.6857309301924611E-3</v>
      </c>
    </row>
    <row r="10" spans="1:43" x14ac:dyDescent="0.35">
      <c r="A10" t="s">
        <v>43</v>
      </c>
      <c r="B10">
        <v>8400</v>
      </c>
      <c r="C10">
        <v>3800</v>
      </c>
      <c r="D10">
        <v>22900</v>
      </c>
      <c r="E10">
        <v>5100</v>
      </c>
      <c r="F10">
        <v>63900</v>
      </c>
      <c r="G10">
        <v>0</v>
      </c>
      <c r="H10">
        <v>0</v>
      </c>
      <c r="I10">
        <v>0</v>
      </c>
      <c r="J10">
        <v>0</v>
      </c>
      <c r="K10">
        <v>791300</v>
      </c>
      <c r="L10">
        <v>14200</v>
      </c>
      <c r="M10">
        <v>5100</v>
      </c>
      <c r="O10" s="2">
        <f t="shared" si="0"/>
        <v>9.1833387996064289E-3</v>
      </c>
      <c r="P10" s="2">
        <f t="shared" si="1"/>
        <v>4.1928721174004195E-3</v>
      </c>
      <c r="Q10" s="2">
        <f t="shared" si="2"/>
        <v>2.5373960960645228E-2</v>
      </c>
      <c r="R10" s="2">
        <f t="shared" si="3"/>
        <v>0.86509238001530553</v>
      </c>
      <c r="AN10" s="9" t="s">
        <v>43</v>
      </c>
      <c r="AO10" s="10">
        <v>9.1999999999999998E-3</v>
      </c>
      <c r="AP10" s="10">
        <v>1.2385730930192461E-2</v>
      </c>
      <c r="AQ10" s="10">
        <f t="shared" si="4"/>
        <v>-3.1857309301924607E-3</v>
      </c>
    </row>
    <row r="11" spans="1:43" x14ac:dyDescent="0.35">
      <c r="A11" t="s">
        <v>28</v>
      </c>
      <c r="B11">
        <v>8100</v>
      </c>
      <c r="C11">
        <v>3700</v>
      </c>
      <c r="D11">
        <v>18100</v>
      </c>
      <c r="E11">
        <v>400</v>
      </c>
      <c r="F11">
        <v>16800</v>
      </c>
      <c r="G11">
        <v>100</v>
      </c>
      <c r="H11">
        <v>0</v>
      </c>
      <c r="I11">
        <v>0</v>
      </c>
      <c r="J11">
        <v>0</v>
      </c>
      <c r="K11">
        <v>262500</v>
      </c>
      <c r="L11">
        <v>1800</v>
      </c>
      <c r="M11">
        <v>600</v>
      </c>
      <c r="O11" s="2">
        <f t="shared" si="0"/>
        <v>2.5953220121755848E-2</v>
      </c>
      <c r="P11" s="2">
        <f t="shared" si="1"/>
        <v>1.2171052631578947E-2</v>
      </c>
      <c r="Q11" s="2">
        <f t="shared" si="2"/>
        <v>6.0273055064003107E-2</v>
      </c>
      <c r="R11" s="2">
        <f t="shared" si="3"/>
        <v>0.84107657801986546</v>
      </c>
      <c r="AN11" s="9" t="s">
        <v>28</v>
      </c>
      <c r="AO11" s="10">
        <v>2.5999999999999999E-2</v>
      </c>
      <c r="AP11" s="10">
        <v>1.2385730930192461E-2</v>
      </c>
      <c r="AQ11" s="10">
        <f t="shared" si="4"/>
        <v>1.3614269069807538E-2</v>
      </c>
    </row>
    <row r="12" spans="1:43" x14ac:dyDescent="0.35">
      <c r="A12" t="s">
        <v>38</v>
      </c>
      <c r="B12">
        <v>254900</v>
      </c>
      <c r="C12">
        <v>57300</v>
      </c>
      <c r="D12">
        <v>414500</v>
      </c>
      <c r="E12">
        <v>170500</v>
      </c>
      <c r="F12">
        <v>1101100</v>
      </c>
      <c r="G12">
        <v>400</v>
      </c>
      <c r="H12">
        <v>100</v>
      </c>
      <c r="I12">
        <v>0</v>
      </c>
      <c r="J12">
        <v>0</v>
      </c>
      <c r="K12">
        <v>16136500</v>
      </c>
      <c r="L12">
        <v>351800</v>
      </c>
      <c r="M12">
        <v>96100</v>
      </c>
      <c r="O12" s="2">
        <f t="shared" si="0"/>
        <v>1.3716690343966593E-2</v>
      </c>
      <c r="P12" s="2">
        <f t="shared" si="1"/>
        <v>3.1263128604398661E-3</v>
      </c>
      <c r="Q12" s="2">
        <f t="shared" si="2"/>
        <v>2.2686224053900722E-2</v>
      </c>
      <c r="R12" s="2">
        <f t="shared" si="3"/>
        <v>0.86833806879331865</v>
      </c>
      <c r="AN12" s="9" t="s">
        <v>38</v>
      </c>
      <c r="AO12" s="10">
        <v>1.37E-2</v>
      </c>
      <c r="AP12" s="10">
        <v>1.2385730930192461E-2</v>
      </c>
      <c r="AQ12" s="10">
        <f t="shared" si="4"/>
        <v>1.3142690698075398E-3</v>
      </c>
    </row>
    <row r="13" spans="1:43" x14ac:dyDescent="0.35">
      <c r="A13" t="s">
        <v>44</v>
      </c>
      <c r="B13">
        <v>92400</v>
      </c>
      <c r="C13">
        <v>22700</v>
      </c>
      <c r="D13">
        <v>175300</v>
      </c>
      <c r="E13">
        <v>92500</v>
      </c>
      <c r="F13">
        <v>719400</v>
      </c>
      <c r="G13">
        <v>300</v>
      </c>
      <c r="H13">
        <v>200</v>
      </c>
      <c r="I13">
        <v>0</v>
      </c>
      <c r="J13">
        <v>0</v>
      </c>
      <c r="K13">
        <v>8256400</v>
      </c>
      <c r="L13">
        <v>206300</v>
      </c>
      <c r="M13">
        <v>76900</v>
      </c>
      <c r="O13" s="2">
        <f t="shared" si="0"/>
        <v>9.5826765120716837E-3</v>
      </c>
      <c r="P13" s="2">
        <f t="shared" si="1"/>
        <v>2.3769633507853402E-3</v>
      </c>
      <c r="Q13" s="2">
        <f t="shared" si="2"/>
        <v>1.8399756470739988E-2</v>
      </c>
      <c r="R13" s="2">
        <f t="shared" si="3"/>
        <v>0.85625985231892476</v>
      </c>
      <c r="AN13" s="9" t="s">
        <v>44</v>
      </c>
      <c r="AO13" s="10">
        <v>9.5999999999999992E-3</v>
      </c>
      <c r="AP13" s="10">
        <v>1.2385730930192461E-2</v>
      </c>
      <c r="AQ13" s="10">
        <f t="shared" si="4"/>
        <v>-2.7857309301924614E-3</v>
      </c>
    </row>
    <row r="14" spans="1:43" x14ac:dyDescent="0.35">
      <c r="A14" t="s">
        <v>32</v>
      </c>
      <c r="B14">
        <v>25600</v>
      </c>
      <c r="C14">
        <v>7300</v>
      </c>
      <c r="D14">
        <v>36400</v>
      </c>
      <c r="E14">
        <v>3400</v>
      </c>
      <c r="F14">
        <v>37300</v>
      </c>
      <c r="G14">
        <v>0</v>
      </c>
      <c r="H14">
        <v>0</v>
      </c>
      <c r="I14">
        <v>0</v>
      </c>
      <c r="J14">
        <v>0</v>
      </c>
      <c r="K14">
        <v>951000</v>
      </c>
      <c r="L14">
        <v>15400</v>
      </c>
      <c r="M14">
        <v>3700</v>
      </c>
      <c r="O14" s="2">
        <f t="shared" si="0"/>
        <v>2.3701509119525972E-2</v>
      </c>
      <c r="P14" s="2">
        <f t="shared" si="1"/>
        <v>6.9227121858700807E-3</v>
      </c>
      <c r="Q14" s="2">
        <f t="shared" si="2"/>
        <v>3.4759357502053834E-2</v>
      </c>
      <c r="R14" s="2">
        <f t="shared" si="3"/>
        <v>0.88047403018239057</v>
      </c>
      <c r="AN14" s="9" t="s">
        <v>32</v>
      </c>
      <c r="AO14" s="10">
        <v>2.3699999999999999E-2</v>
      </c>
      <c r="AP14" s="10">
        <v>1.2385730930192461E-2</v>
      </c>
      <c r="AQ14" s="10">
        <f t="shared" si="4"/>
        <v>1.1314269069807538E-2</v>
      </c>
    </row>
    <row r="15" spans="1:43" x14ac:dyDescent="0.35">
      <c r="A15" t="s">
        <v>45</v>
      </c>
      <c r="B15">
        <v>8500</v>
      </c>
      <c r="C15">
        <v>4600</v>
      </c>
      <c r="D15">
        <v>43700</v>
      </c>
      <c r="E15">
        <v>45900</v>
      </c>
      <c r="F15">
        <v>132900</v>
      </c>
      <c r="G15">
        <v>100</v>
      </c>
      <c r="H15">
        <v>100</v>
      </c>
      <c r="I15">
        <v>0</v>
      </c>
      <c r="J15">
        <v>0</v>
      </c>
      <c r="K15">
        <v>1568600</v>
      </c>
      <c r="L15">
        <v>138600</v>
      </c>
      <c r="M15">
        <v>31600</v>
      </c>
      <c r="O15" s="2">
        <f t="shared" si="0"/>
        <v>4.3046693001114146E-3</v>
      </c>
      <c r="P15" s="2">
        <f t="shared" si="1"/>
        <v>2.3396571893596462E-3</v>
      </c>
      <c r="Q15" s="2">
        <f t="shared" si="2"/>
        <v>2.2278868164209452E-2</v>
      </c>
      <c r="R15" s="2">
        <f t="shared" si="3"/>
        <v>0.79438873695938417</v>
      </c>
      <c r="AN15" s="9" t="s">
        <v>45</v>
      </c>
      <c r="AO15" s="10">
        <v>4.3E-3</v>
      </c>
      <c r="AP15" s="10">
        <v>1.2385730930192461E-2</v>
      </c>
      <c r="AQ15" s="10">
        <f t="shared" si="4"/>
        <v>-8.0857309301924606E-3</v>
      </c>
    </row>
    <row r="16" spans="1:43" x14ac:dyDescent="0.35">
      <c r="A16" t="s">
        <v>46</v>
      </c>
      <c r="B16">
        <v>99600</v>
      </c>
      <c r="C16">
        <v>33400</v>
      </c>
      <c r="D16">
        <v>285400</v>
      </c>
      <c r="E16">
        <v>61500</v>
      </c>
      <c r="F16">
        <v>772900</v>
      </c>
      <c r="G16">
        <v>300</v>
      </c>
      <c r="H16">
        <v>0</v>
      </c>
      <c r="I16">
        <v>0</v>
      </c>
      <c r="J16">
        <v>0</v>
      </c>
      <c r="K16">
        <v>8560300</v>
      </c>
      <c r="L16">
        <v>170200</v>
      </c>
      <c r="M16">
        <v>59600</v>
      </c>
      <c r="O16" s="2">
        <f t="shared" si="0"/>
        <v>9.917157877967181E-3</v>
      </c>
      <c r="P16" s="2">
        <f t="shared" si="1"/>
        <v>3.3589444466792713E-3</v>
      </c>
      <c r="Q16" s="2">
        <f t="shared" si="2"/>
        <v>2.8798611502734515E-2</v>
      </c>
      <c r="R16" s="2">
        <f t="shared" si="3"/>
        <v>0.8523478572566513</v>
      </c>
      <c r="AN16" s="9" t="s">
        <v>46</v>
      </c>
      <c r="AO16" s="10">
        <v>9.9000000000000008E-3</v>
      </c>
      <c r="AP16" s="10">
        <v>1.2385730930192461E-2</v>
      </c>
      <c r="AQ16" s="10">
        <f t="shared" si="4"/>
        <v>-2.4857309301924597E-3</v>
      </c>
    </row>
    <row r="17" spans="1:43" x14ac:dyDescent="0.35">
      <c r="A17" t="s">
        <v>47</v>
      </c>
      <c r="B17">
        <v>26100</v>
      </c>
      <c r="C17">
        <v>12900</v>
      </c>
      <c r="D17">
        <v>119100</v>
      </c>
      <c r="E17">
        <v>56300</v>
      </c>
      <c r="F17">
        <v>576300</v>
      </c>
      <c r="G17">
        <v>300</v>
      </c>
      <c r="H17">
        <v>0</v>
      </c>
      <c r="I17">
        <v>0</v>
      </c>
      <c r="J17">
        <v>0</v>
      </c>
      <c r="K17">
        <v>5166200</v>
      </c>
      <c r="L17">
        <v>156400</v>
      </c>
      <c r="M17">
        <v>58500</v>
      </c>
      <c r="O17" s="2">
        <f t="shared" si="0"/>
        <v>4.2287065990505666E-3</v>
      </c>
      <c r="P17" s="2">
        <f t="shared" si="1"/>
        <v>2.0989261308167915E-3</v>
      </c>
      <c r="Q17" s="2">
        <f t="shared" si="2"/>
        <v>1.9419217022041354E-2</v>
      </c>
      <c r="R17" s="2">
        <f t="shared" si="3"/>
        <v>0.83702467555613158</v>
      </c>
      <c r="AN17" s="9" t="s">
        <v>47</v>
      </c>
      <c r="AO17" s="10">
        <v>4.1999999999999997E-3</v>
      </c>
      <c r="AP17" s="10">
        <v>1.2385730930192461E-2</v>
      </c>
      <c r="AQ17" s="10">
        <f t="shared" si="4"/>
        <v>-8.18573093019246E-3</v>
      </c>
    </row>
    <row r="18" spans="1:43" x14ac:dyDescent="0.35">
      <c r="A18" t="s">
        <v>48</v>
      </c>
      <c r="B18">
        <v>9000</v>
      </c>
      <c r="C18">
        <v>6100</v>
      </c>
      <c r="D18">
        <v>57200</v>
      </c>
      <c r="E18">
        <v>41700</v>
      </c>
      <c r="F18">
        <v>331300</v>
      </c>
      <c r="G18">
        <v>100</v>
      </c>
      <c r="H18">
        <v>0</v>
      </c>
      <c r="I18">
        <v>0</v>
      </c>
      <c r="J18">
        <v>0</v>
      </c>
      <c r="K18">
        <v>2545400</v>
      </c>
      <c r="L18">
        <v>105000</v>
      </c>
      <c r="M18">
        <v>57500</v>
      </c>
      <c r="O18" s="2">
        <f t="shared" si="0"/>
        <v>2.8541527923128152E-3</v>
      </c>
      <c r="P18" s="2">
        <f t="shared" si="1"/>
        <v>1.9400184460770283E-3</v>
      </c>
      <c r="Q18" s="2">
        <f t="shared" si="2"/>
        <v>1.8227009096927326E-2</v>
      </c>
      <c r="R18" s="2">
        <f t="shared" si="3"/>
        <v>0.80721783528367108</v>
      </c>
      <c r="AN18" s="9" t="s">
        <v>48</v>
      </c>
      <c r="AO18" s="10">
        <v>2.8999999999999998E-3</v>
      </c>
      <c r="AP18" s="10">
        <v>1.2385730930192461E-2</v>
      </c>
      <c r="AQ18" s="10">
        <f t="shared" si="4"/>
        <v>-9.4857309301924608E-3</v>
      </c>
    </row>
    <row r="19" spans="1:43" x14ac:dyDescent="0.35">
      <c r="A19" t="s">
        <v>49</v>
      </c>
      <c r="B19">
        <v>11300</v>
      </c>
      <c r="C19">
        <v>5600</v>
      </c>
      <c r="D19">
        <v>50400</v>
      </c>
      <c r="E19">
        <v>27900</v>
      </c>
      <c r="F19">
        <v>253500</v>
      </c>
      <c r="G19">
        <v>200</v>
      </c>
      <c r="H19">
        <v>100</v>
      </c>
      <c r="I19">
        <v>0</v>
      </c>
      <c r="J19">
        <v>0</v>
      </c>
      <c r="K19">
        <v>2168600</v>
      </c>
      <c r="L19">
        <v>87400</v>
      </c>
      <c r="M19">
        <v>16100</v>
      </c>
      <c r="O19" s="2">
        <f t="shared" si="0"/>
        <v>4.311167067261837E-3</v>
      </c>
      <c r="P19" s="2">
        <f t="shared" si="1"/>
        <v>2.1457582956548394E-3</v>
      </c>
      <c r="Q19" s="2">
        <f t="shared" si="2"/>
        <v>1.9353352245052018E-2</v>
      </c>
      <c r="R19" s="2">
        <f t="shared" si="3"/>
        <v>0.8273625577047804</v>
      </c>
      <c r="AN19" s="9" t="s">
        <v>49</v>
      </c>
      <c r="AO19" s="10">
        <v>4.3E-3</v>
      </c>
      <c r="AP19" s="10">
        <v>1.2385730930192461E-2</v>
      </c>
      <c r="AQ19" s="10">
        <f t="shared" si="4"/>
        <v>-8.0857309301924606E-3</v>
      </c>
    </row>
    <row r="20" spans="1:43" x14ac:dyDescent="0.35">
      <c r="A20" t="s">
        <v>50</v>
      </c>
      <c r="B20">
        <v>11600</v>
      </c>
      <c r="C20">
        <v>5600</v>
      </c>
      <c r="D20">
        <v>67100</v>
      </c>
      <c r="E20">
        <v>36900</v>
      </c>
      <c r="F20">
        <v>361200</v>
      </c>
      <c r="G20">
        <v>300</v>
      </c>
      <c r="H20">
        <v>0</v>
      </c>
      <c r="I20">
        <v>0</v>
      </c>
      <c r="J20">
        <v>0</v>
      </c>
      <c r="K20">
        <v>3415000</v>
      </c>
      <c r="L20">
        <v>117600</v>
      </c>
      <c r="M20">
        <v>24400</v>
      </c>
      <c r="O20" s="2">
        <f t="shared" si="0"/>
        <v>2.871500358937545E-3</v>
      </c>
      <c r="P20" s="2">
        <f t="shared" si="1"/>
        <v>1.3902336088974952E-3</v>
      </c>
      <c r="Q20" s="2">
        <f t="shared" si="2"/>
        <v>1.6681168415686766E-2</v>
      </c>
      <c r="R20" s="2">
        <f t="shared" si="3"/>
        <v>0.84535980394583754</v>
      </c>
      <c r="AN20" s="9" t="s">
        <v>50</v>
      </c>
      <c r="AO20" s="10">
        <v>2.8999999999999998E-3</v>
      </c>
      <c r="AP20" s="10">
        <v>1.2385730930192461E-2</v>
      </c>
      <c r="AQ20" s="10">
        <f t="shared" si="4"/>
        <v>-9.4857309301924608E-3</v>
      </c>
    </row>
    <row r="21" spans="1:43" x14ac:dyDescent="0.35">
      <c r="A21" t="s">
        <v>51</v>
      </c>
      <c r="B21">
        <v>8200</v>
      </c>
      <c r="C21">
        <v>4000</v>
      </c>
      <c r="D21">
        <v>40200</v>
      </c>
      <c r="E21">
        <v>64200</v>
      </c>
      <c r="F21">
        <v>380100</v>
      </c>
      <c r="G21">
        <v>100</v>
      </c>
      <c r="H21">
        <v>0</v>
      </c>
      <c r="I21">
        <v>0</v>
      </c>
      <c r="J21">
        <v>0</v>
      </c>
      <c r="K21">
        <v>3142800</v>
      </c>
      <c r="L21">
        <v>115500</v>
      </c>
      <c r="M21">
        <v>19100</v>
      </c>
      <c r="O21" s="2">
        <f t="shared" si="0"/>
        <v>2.1726458587250277E-3</v>
      </c>
      <c r="P21" s="2">
        <f t="shared" si="1"/>
        <v>1.0621348911311736E-3</v>
      </c>
      <c r="Q21" s="2">
        <f t="shared" si="2"/>
        <v>1.0685805416476218E-2</v>
      </c>
      <c r="R21" s="2">
        <f t="shared" si="3"/>
        <v>0.83270626887817289</v>
      </c>
      <c r="AN21" s="9" t="s">
        <v>51</v>
      </c>
      <c r="AO21" s="10">
        <v>2.2000000000000001E-3</v>
      </c>
      <c r="AP21" s="10">
        <v>1.2385730930192461E-2</v>
      </c>
      <c r="AQ21" s="10">
        <f t="shared" si="4"/>
        <v>-1.018573093019246E-2</v>
      </c>
    </row>
    <row r="22" spans="1:43" x14ac:dyDescent="0.35">
      <c r="A22" t="s">
        <v>52</v>
      </c>
      <c r="B22">
        <v>7400</v>
      </c>
      <c r="C22">
        <v>7600</v>
      </c>
      <c r="D22">
        <v>33600</v>
      </c>
      <c r="E22">
        <v>12000</v>
      </c>
      <c r="F22">
        <v>104500</v>
      </c>
      <c r="G22">
        <v>0</v>
      </c>
      <c r="H22">
        <v>0</v>
      </c>
      <c r="I22">
        <v>0</v>
      </c>
      <c r="J22">
        <v>0</v>
      </c>
      <c r="K22">
        <v>1036100</v>
      </c>
      <c r="L22">
        <v>26900</v>
      </c>
      <c r="M22">
        <v>7900</v>
      </c>
      <c r="O22" s="2">
        <f t="shared" si="0"/>
        <v>5.9870550161812298E-3</v>
      </c>
      <c r="P22" s="2">
        <f t="shared" si="1"/>
        <v>6.1859026534266644E-3</v>
      </c>
      <c r="Q22" s="2">
        <f t="shared" si="2"/>
        <v>2.7518427383493582E-2</v>
      </c>
      <c r="R22" s="2">
        <f t="shared" si="3"/>
        <v>0.83826860841423945</v>
      </c>
      <c r="AN22" s="9" t="s">
        <v>52</v>
      </c>
      <c r="AO22" s="10">
        <v>6.0000000000000001E-3</v>
      </c>
      <c r="AP22" s="10">
        <v>1.2385730930192461E-2</v>
      </c>
      <c r="AQ22" s="10">
        <f t="shared" si="4"/>
        <v>-6.3857309301924604E-3</v>
      </c>
    </row>
    <row r="23" spans="1:43" x14ac:dyDescent="0.35">
      <c r="A23" t="s">
        <v>53</v>
      </c>
      <c r="B23">
        <v>72100</v>
      </c>
      <c r="C23">
        <v>31300</v>
      </c>
      <c r="D23">
        <v>168700</v>
      </c>
      <c r="E23">
        <v>32100</v>
      </c>
      <c r="F23">
        <v>309300</v>
      </c>
      <c r="G23">
        <v>300</v>
      </c>
      <c r="H23">
        <v>0</v>
      </c>
      <c r="I23">
        <v>0</v>
      </c>
      <c r="J23">
        <v>0</v>
      </c>
      <c r="K23">
        <v>4327800</v>
      </c>
      <c r="L23">
        <v>86900</v>
      </c>
      <c r="M23">
        <v>31500</v>
      </c>
      <c r="O23" s="2">
        <f t="shared" si="0"/>
        <v>1.424901185770751E-2</v>
      </c>
      <c r="P23" s="2">
        <f t="shared" si="1"/>
        <v>6.2751859499989978E-3</v>
      </c>
      <c r="Q23" s="2">
        <f t="shared" si="2"/>
        <v>3.4035427412950167E-2</v>
      </c>
      <c r="R23" s="2">
        <f t="shared" si="3"/>
        <v>0.85529644268774707</v>
      </c>
      <c r="AN23" s="9" t="s">
        <v>53</v>
      </c>
      <c r="AO23" s="10">
        <v>1.4200000000000001E-2</v>
      </c>
      <c r="AP23" s="10">
        <v>1.2385730930192461E-2</v>
      </c>
      <c r="AQ23" s="10">
        <f t="shared" si="4"/>
        <v>1.8142690698075403E-3</v>
      </c>
    </row>
    <row r="24" spans="1:43" x14ac:dyDescent="0.35">
      <c r="A24" t="s">
        <v>54</v>
      </c>
      <c r="B24">
        <v>73800</v>
      </c>
      <c r="C24">
        <v>43800</v>
      </c>
      <c r="D24">
        <v>187300</v>
      </c>
      <c r="E24">
        <v>21300</v>
      </c>
      <c r="F24">
        <v>285000</v>
      </c>
      <c r="G24">
        <v>200</v>
      </c>
      <c r="H24">
        <v>0</v>
      </c>
      <c r="I24">
        <v>0</v>
      </c>
      <c r="J24">
        <v>0</v>
      </c>
      <c r="K24">
        <v>4791300</v>
      </c>
      <c r="L24">
        <v>58400</v>
      </c>
      <c r="M24">
        <v>30000</v>
      </c>
      <c r="O24" s="2">
        <f t="shared" si="0"/>
        <v>1.3439930068656554E-2</v>
      </c>
      <c r="P24" s="2">
        <f t="shared" si="1"/>
        <v>8.0852084986986136E-3</v>
      </c>
      <c r="Q24" s="2">
        <f t="shared" si="2"/>
        <v>3.485623886322408E-2</v>
      </c>
      <c r="R24" s="2">
        <f t="shared" si="3"/>
        <v>0.87255741108338947</v>
      </c>
      <c r="AN24" s="9" t="s">
        <v>54</v>
      </c>
      <c r="AO24" s="10">
        <v>1.34E-2</v>
      </c>
      <c r="AP24" s="10">
        <v>1.2385730930192461E-2</v>
      </c>
      <c r="AQ24" s="10">
        <f t="shared" si="4"/>
        <v>1.0142690698075399E-3</v>
      </c>
    </row>
    <row r="25" spans="1:43" x14ac:dyDescent="0.35">
      <c r="A25" t="s">
        <v>55</v>
      </c>
      <c r="B25">
        <v>50300</v>
      </c>
      <c r="C25">
        <v>29100</v>
      </c>
      <c r="D25">
        <v>148100</v>
      </c>
      <c r="E25">
        <v>70400</v>
      </c>
      <c r="F25">
        <v>873700</v>
      </c>
      <c r="G25">
        <v>300</v>
      </c>
      <c r="H25">
        <v>0</v>
      </c>
      <c r="I25">
        <v>0</v>
      </c>
      <c r="J25">
        <v>0</v>
      </c>
      <c r="K25">
        <v>7129600</v>
      </c>
      <c r="L25">
        <v>174500</v>
      </c>
      <c r="M25">
        <v>49400</v>
      </c>
      <c r="O25" s="2">
        <f t="shared" si="0"/>
        <v>5.9000164215168788E-3</v>
      </c>
      <c r="P25" s="2">
        <f t="shared" si="1"/>
        <v>3.4335878042736959E-3</v>
      </c>
      <c r="Q25" s="2">
        <f t="shared" si="2"/>
        <v>1.7534927764213077E-2</v>
      </c>
      <c r="R25" s="2">
        <f t="shared" si="3"/>
        <v>0.83627747671663499</v>
      </c>
      <c r="AN25" s="9" t="s">
        <v>55</v>
      </c>
      <c r="AO25" s="10">
        <v>5.8999999999999999E-3</v>
      </c>
      <c r="AP25" s="10">
        <v>1.2385730930192461E-2</v>
      </c>
      <c r="AQ25" s="10">
        <f t="shared" si="4"/>
        <v>-6.4857309301924607E-3</v>
      </c>
    </row>
    <row r="26" spans="1:43" x14ac:dyDescent="0.35">
      <c r="A26" t="s">
        <v>56</v>
      </c>
      <c r="B26">
        <v>37100</v>
      </c>
      <c r="C26">
        <v>16100</v>
      </c>
      <c r="D26">
        <v>124500</v>
      </c>
      <c r="E26">
        <v>52700</v>
      </c>
      <c r="F26">
        <v>516400</v>
      </c>
      <c r="G26">
        <v>100</v>
      </c>
      <c r="H26">
        <v>0</v>
      </c>
      <c r="I26">
        <v>0</v>
      </c>
      <c r="J26">
        <v>0</v>
      </c>
      <c r="K26">
        <v>4219200</v>
      </c>
      <c r="L26">
        <v>127900</v>
      </c>
      <c r="M26">
        <v>24500</v>
      </c>
      <c r="O26" s="2">
        <f t="shared" si="0"/>
        <v>7.2482172511477974E-3</v>
      </c>
      <c r="P26" s="2">
        <f t="shared" si="1"/>
        <v>3.1684181524776638E-3</v>
      </c>
      <c r="Q26" s="2">
        <f t="shared" si="2"/>
        <v>2.4578998247260002E-2</v>
      </c>
      <c r="R26" s="2">
        <f t="shared" si="3"/>
        <v>0.8243039953111263</v>
      </c>
      <c r="AN26" s="9" t="s">
        <v>56</v>
      </c>
      <c r="AO26" s="10">
        <v>7.1999999999999998E-3</v>
      </c>
      <c r="AP26" s="10">
        <v>1.2385730930192461E-2</v>
      </c>
      <c r="AQ26" s="10">
        <f t="shared" si="4"/>
        <v>-5.1857309301924608E-3</v>
      </c>
    </row>
    <row r="27" spans="1:43" x14ac:dyDescent="0.35">
      <c r="A27" t="s">
        <v>29</v>
      </c>
      <c r="B27">
        <v>3600</v>
      </c>
      <c r="C27">
        <v>2000</v>
      </c>
      <c r="D27">
        <v>28200</v>
      </c>
      <c r="E27">
        <v>34900</v>
      </c>
      <c r="F27">
        <v>295200</v>
      </c>
      <c r="G27">
        <v>100</v>
      </c>
      <c r="H27">
        <v>0</v>
      </c>
      <c r="I27">
        <v>0</v>
      </c>
      <c r="J27">
        <v>0</v>
      </c>
      <c r="K27">
        <v>2275600</v>
      </c>
      <c r="L27">
        <v>75200</v>
      </c>
      <c r="M27">
        <v>8500</v>
      </c>
      <c r="O27" s="2">
        <f t="shared" si="0"/>
        <v>1.321925604964565E-3</v>
      </c>
      <c r="P27" s="2">
        <f t="shared" si="1"/>
        <v>7.3537522520866273E-4</v>
      </c>
      <c r="Q27" s="2">
        <f t="shared" si="2"/>
        <v>1.037642123350007E-2</v>
      </c>
      <c r="R27" s="2">
        <f t="shared" si="3"/>
        <v>0.83560386296037892</v>
      </c>
      <c r="AN27" s="9" t="s">
        <v>29</v>
      </c>
      <c r="AO27" s="10">
        <v>1.2999999999999999E-3</v>
      </c>
      <c r="AP27" s="10">
        <v>1.2385730930192461E-2</v>
      </c>
      <c r="AQ27" s="10">
        <f t="shared" si="4"/>
        <v>-1.108573093019246E-2</v>
      </c>
    </row>
    <row r="28" spans="1:43" x14ac:dyDescent="0.35">
      <c r="A28" t="s">
        <v>57</v>
      </c>
      <c r="B28">
        <v>26900</v>
      </c>
      <c r="C28">
        <v>13900</v>
      </c>
      <c r="D28">
        <v>113900</v>
      </c>
      <c r="E28">
        <v>70400</v>
      </c>
      <c r="F28">
        <v>575500</v>
      </c>
      <c r="G28">
        <v>900</v>
      </c>
      <c r="H28">
        <v>100</v>
      </c>
      <c r="I28">
        <v>0</v>
      </c>
      <c r="J28">
        <v>0</v>
      </c>
      <c r="K28">
        <v>4608600</v>
      </c>
      <c r="L28">
        <v>178200</v>
      </c>
      <c r="M28">
        <v>37600</v>
      </c>
      <c r="O28" s="2">
        <f t="shared" si="0"/>
        <v>4.7813722004976895E-3</v>
      </c>
      <c r="P28" s="2">
        <f t="shared" si="1"/>
        <v>2.4825418370809592E-3</v>
      </c>
      <c r="Q28" s="2">
        <f t="shared" si="2"/>
        <v>2.0393181963491481E-2</v>
      </c>
      <c r="R28" s="2">
        <f t="shared" si="3"/>
        <v>0.81916103803768214</v>
      </c>
      <c r="AN28" s="9" t="s">
        <v>57</v>
      </c>
      <c r="AO28" s="10">
        <v>4.7999999999999996E-3</v>
      </c>
      <c r="AP28" s="10">
        <v>1.2385730930192461E-2</v>
      </c>
      <c r="AQ28" s="10">
        <f t="shared" si="4"/>
        <v>-7.585730930192461E-3</v>
      </c>
    </row>
    <row r="29" spans="1:43" x14ac:dyDescent="0.35">
      <c r="A29" t="s">
        <v>58</v>
      </c>
      <c r="B29">
        <v>4600</v>
      </c>
      <c r="C29">
        <v>2500</v>
      </c>
      <c r="D29">
        <v>21100</v>
      </c>
      <c r="E29">
        <v>37900</v>
      </c>
      <c r="F29">
        <v>94500</v>
      </c>
      <c r="G29">
        <v>0</v>
      </c>
      <c r="H29">
        <v>0</v>
      </c>
      <c r="I29">
        <v>0</v>
      </c>
      <c r="J29">
        <v>0</v>
      </c>
      <c r="K29">
        <v>780700</v>
      </c>
      <c r="L29">
        <v>69600</v>
      </c>
      <c r="M29">
        <v>10800</v>
      </c>
      <c r="O29" s="2">
        <f t="shared" si="0"/>
        <v>4.50230008808848E-3</v>
      </c>
      <c r="P29" s="2">
        <f t="shared" si="1"/>
        <v>2.4579687346376953E-3</v>
      </c>
      <c r="Q29" s="2">
        <f t="shared" si="2"/>
        <v>2.0796372862574897E-2</v>
      </c>
      <c r="R29" s="2">
        <f t="shared" si="3"/>
        <v>0.76411862581971224</v>
      </c>
      <c r="AN29" s="9" t="s">
        <v>58</v>
      </c>
      <c r="AO29" s="10">
        <v>4.4999999999999997E-3</v>
      </c>
      <c r="AP29" s="10">
        <v>1.2385730930192461E-2</v>
      </c>
      <c r="AQ29" s="10">
        <f t="shared" si="4"/>
        <v>-7.8857309301924618E-3</v>
      </c>
    </row>
    <row r="30" spans="1:43" x14ac:dyDescent="0.35">
      <c r="A30" t="s">
        <v>59</v>
      </c>
      <c r="B30">
        <v>6900</v>
      </c>
      <c r="C30">
        <v>3800</v>
      </c>
      <c r="D30">
        <v>32600</v>
      </c>
      <c r="E30">
        <v>28900</v>
      </c>
      <c r="F30">
        <v>197100</v>
      </c>
      <c r="G30">
        <v>100</v>
      </c>
      <c r="H30">
        <v>0</v>
      </c>
      <c r="I30">
        <v>0</v>
      </c>
      <c r="J30">
        <v>0</v>
      </c>
      <c r="K30">
        <v>1600400</v>
      </c>
      <c r="L30">
        <v>76100</v>
      </c>
      <c r="M30">
        <v>25300</v>
      </c>
      <c r="O30" s="2">
        <f t="shared" si="0"/>
        <v>3.500405844155844E-3</v>
      </c>
      <c r="P30" s="2">
        <f t="shared" si="1"/>
        <v>1.9345313852262892E-3</v>
      </c>
      <c r="Q30" s="2">
        <f t="shared" si="2"/>
        <v>1.6628411089922881E-2</v>
      </c>
      <c r="R30" s="2">
        <f t="shared" si="3"/>
        <v>0.81189123376623373</v>
      </c>
      <c r="AN30" s="9" t="s">
        <v>59</v>
      </c>
      <c r="AO30" s="10">
        <v>3.5000000000000001E-3</v>
      </c>
      <c r="AP30" s="10">
        <v>1.2385730930192461E-2</v>
      </c>
      <c r="AQ30" s="10">
        <f t="shared" si="4"/>
        <v>-8.8857309301924609E-3</v>
      </c>
    </row>
    <row r="31" spans="1:43" x14ac:dyDescent="0.35">
      <c r="A31" t="s">
        <v>39</v>
      </c>
      <c r="B31">
        <v>47400</v>
      </c>
      <c r="C31">
        <v>10600</v>
      </c>
      <c r="D31">
        <v>69600</v>
      </c>
      <c r="E31">
        <v>27200</v>
      </c>
      <c r="F31">
        <v>125600</v>
      </c>
      <c r="G31">
        <v>200</v>
      </c>
      <c r="H31">
        <v>100</v>
      </c>
      <c r="I31">
        <v>0</v>
      </c>
      <c r="J31">
        <v>0</v>
      </c>
      <c r="K31">
        <v>2169300</v>
      </c>
      <c r="L31">
        <v>85800</v>
      </c>
      <c r="M31">
        <v>20300</v>
      </c>
      <c r="O31" s="2">
        <f t="shared" si="0"/>
        <v>1.8543875435233365E-2</v>
      </c>
      <c r="P31" s="2">
        <f t="shared" si="1"/>
        <v>4.2252959700243157E-3</v>
      </c>
      <c r="Q31" s="2">
        <f t="shared" si="2"/>
        <v>2.7861174285795549E-2</v>
      </c>
      <c r="R31" s="2">
        <f t="shared" si="3"/>
        <v>0.84867571691248389</v>
      </c>
      <c r="AN31" s="9" t="s">
        <v>39</v>
      </c>
      <c r="AO31" s="10">
        <v>1.8499999999999999E-2</v>
      </c>
      <c r="AP31" s="10">
        <v>1.2385730930192461E-2</v>
      </c>
      <c r="AQ31" s="10">
        <f t="shared" si="4"/>
        <v>6.1142690698075385E-3</v>
      </c>
    </row>
    <row r="32" spans="1:43" x14ac:dyDescent="0.35">
      <c r="A32" t="s">
        <v>60</v>
      </c>
      <c r="B32">
        <v>9900</v>
      </c>
      <c r="C32">
        <v>6600</v>
      </c>
      <c r="D32">
        <v>36800</v>
      </c>
      <c r="E32">
        <v>13900</v>
      </c>
      <c r="F32">
        <v>89600</v>
      </c>
      <c r="G32">
        <v>100</v>
      </c>
      <c r="H32">
        <v>0</v>
      </c>
      <c r="I32">
        <v>0</v>
      </c>
      <c r="J32">
        <v>0</v>
      </c>
      <c r="K32">
        <v>1185300</v>
      </c>
      <c r="L32">
        <v>29200</v>
      </c>
      <c r="M32">
        <v>12300</v>
      </c>
      <c r="O32" s="2">
        <f t="shared" si="0"/>
        <v>7.1547300715473008E-3</v>
      </c>
      <c r="P32" s="2">
        <f t="shared" si="1"/>
        <v>4.8041927500363955E-3</v>
      </c>
      <c r="Q32" s="2">
        <f t="shared" si="2"/>
        <v>2.691632519559754E-2</v>
      </c>
      <c r="R32" s="2">
        <f t="shared" si="3"/>
        <v>0.85661631856616316</v>
      </c>
      <c r="AN32" s="9" t="s">
        <v>60</v>
      </c>
      <c r="AO32" s="10">
        <v>7.1999999999999998E-3</v>
      </c>
      <c r="AP32" s="10">
        <v>1.2385730930192461E-2</v>
      </c>
      <c r="AQ32" s="10">
        <f t="shared" si="4"/>
        <v>-5.1857309301924608E-3</v>
      </c>
    </row>
    <row r="33" spans="1:43" x14ac:dyDescent="0.35">
      <c r="A33" t="s">
        <v>61</v>
      </c>
      <c r="B33">
        <v>134800</v>
      </c>
      <c r="C33">
        <v>40900</v>
      </c>
      <c r="D33">
        <v>174200</v>
      </c>
      <c r="E33">
        <v>27800</v>
      </c>
      <c r="F33">
        <v>392100</v>
      </c>
      <c r="G33">
        <v>300</v>
      </c>
      <c r="H33">
        <v>0</v>
      </c>
      <c r="I33">
        <v>0</v>
      </c>
      <c r="J33">
        <v>0</v>
      </c>
      <c r="K33">
        <v>6433000</v>
      </c>
      <c r="L33">
        <v>84600</v>
      </c>
      <c r="M33">
        <v>36400</v>
      </c>
      <c r="O33" s="2">
        <f t="shared" si="0"/>
        <v>1.8404991739599405E-2</v>
      </c>
      <c r="P33" s="2">
        <f t="shared" si="1"/>
        <v>5.6890100566119092E-3</v>
      </c>
      <c r="Q33" s="2">
        <f t="shared" si="2"/>
        <v>2.4369089523737775E-2</v>
      </c>
      <c r="R33" s="2">
        <f t="shared" si="3"/>
        <v>0.87833317404186184</v>
      </c>
      <c r="AN33" s="9" t="s">
        <v>61</v>
      </c>
      <c r="AO33" s="10">
        <v>1.84E-2</v>
      </c>
      <c r="AP33" s="10">
        <v>1.2385730930192461E-2</v>
      </c>
      <c r="AQ33" s="10">
        <f t="shared" si="4"/>
        <v>6.0142690698075391E-3</v>
      </c>
    </row>
    <row r="34" spans="1:43" x14ac:dyDescent="0.35">
      <c r="A34" t="s">
        <v>62</v>
      </c>
      <c r="B34">
        <v>10300</v>
      </c>
      <c r="C34">
        <v>4900</v>
      </c>
      <c r="D34">
        <v>44300</v>
      </c>
      <c r="E34">
        <v>32100</v>
      </c>
      <c r="F34">
        <v>151600</v>
      </c>
      <c r="G34">
        <v>100</v>
      </c>
      <c r="H34">
        <v>100</v>
      </c>
      <c r="I34">
        <v>0</v>
      </c>
      <c r="J34">
        <v>0</v>
      </c>
      <c r="K34">
        <v>1597600</v>
      </c>
      <c r="L34">
        <v>88500</v>
      </c>
      <c r="M34">
        <v>22900</v>
      </c>
      <c r="O34" s="2">
        <f t="shared" si="0"/>
        <v>5.2755582872362223E-3</v>
      </c>
      <c r="P34" s="2">
        <f t="shared" si="1"/>
        <v>2.5230420678646827E-3</v>
      </c>
      <c r="Q34" s="2">
        <f t="shared" si="2"/>
        <v>2.2868056927192976E-2</v>
      </c>
      <c r="R34" s="2">
        <f t="shared" si="3"/>
        <v>0.81827494365908626</v>
      </c>
      <c r="AN34" s="9" t="s">
        <v>62</v>
      </c>
      <c r="AO34" s="10">
        <v>5.3E-3</v>
      </c>
      <c r="AP34" s="10">
        <v>1.2385730930192461E-2</v>
      </c>
      <c r="AQ34" s="10">
        <f t="shared" si="4"/>
        <v>-7.0857309301924605E-3</v>
      </c>
    </row>
    <row r="35" spans="1:43" x14ac:dyDescent="0.35">
      <c r="A35" t="s">
        <v>34</v>
      </c>
      <c r="B35">
        <v>131300</v>
      </c>
      <c r="C35">
        <v>92300</v>
      </c>
      <c r="D35">
        <v>314000</v>
      </c>
      <c r="E35">
        <v>54300</v>
      </c>
      <c r="F35">
        <v>591100</v>
      </c>
      <c r="G35">
        <v>400</v>
      </c>
      <c r="H35">
        <v>100</v>
      </c>
      <c r="I35">
        <v>0</v>
      </c>
      <c r="J35">
        <v>0</v>
      </c>
      <c r="K35">
        <v>9905500</v>
      </c>
      <c r="L35">
        <v>150500</v>
      </c>
      <c r="M35">
        <v>79100</v>
      </c>
      <c r="O35" s="2">
        <f t="shared" si="0"/>
        <v>1.1600374604633082E-2</v>
      </c>
      <c r="P35" s="2">
        <f t="shared" si="1"/>
        <v>8.2504268232728179E-3</v>
      </c>
      <c r="Q35" s="2">
        <f t="shared" si="2"/>
        <v>2.8301036473339106E-2</v>
      </c>
      <c r="R35" s="2">
        <f t="shared" si="3"/>
        <v>0.87515240400756278</v>
      </c>
      <c r="AN35" s="9" t="s">
        <v>34</v>
      </c>
      <c r="AO35" s="10">
        <v>1.1599999999999999E-2</v>
      </c>
      <c r="AP35" s="10">
        <v>1.2385730930192461E-2</v>
      </c>
      <c r="AQ35" s="10">
        <f t="shared" si="4"/>
        <v>-7.8573093019246136E-4</v>
      </c>
    </row>
    <row r="36" spans="1:43" x14ac:dyDescent="0.35">
      <c r="A36" t="s">
        <v>63</v>
      </c>
      <c r="B36">
        <v>70200</v>
      </c>
      <c r="C36">
        <v>23700</v>
      </c>
      <c r="D36">
        <v>210600</v>
      </c>
      <c r="E36">
        <v>80200</v>
      </c>
      <c r="F36">
        <v>655000</v>
      </c>
      <c r="G36">
        <v>300</v>
      </c>
      <c r="H36">
        <v>100</v>
      </c>
      <c r="I36">
        <v>0</v>
      </c>
      <c r="J36">
        <v>0</v>
      </c>
      <c r="K36">
        <v>7764000</v>
      </c>
      <c r="L36">
        <v>209700</v>
      </c>
      <c r="M36">
        <v>71700</v>
      </c>
      <c r="O36" s="2">
        <f t="shared" si="0"/>
        <v>7.7265973254086184E-3</v>
      </c>
      <c r="P36" s="2">
        <f t="shared" si="1"/>
        <v>2.6288642640843901E-3</v>
      </c>
      <c r="Q36" s="2">
        <f t="shared" si="2"/>
        <v>2.3421860382916136E-2</v>
      </c>
      <c r="R36" s="2">
        <f t="shared" si="3"/>
        <v>0.85454845633151721</v>
      </c>
      <c r="AN36" s="9" t="s">
        <v>63</v>
      </c>
      <c r="AO36" s="10">
        <v>7.7000000000000002E-3</v>
      </c>
      <c r="AP36" s="10">
        <v>1.2385730930192461E-2</v>
      </c>
      <c r="AQ36" s="10">
        <f t="shared" si="4"/>
        <v>-4.6857309301924603E-3</v>
      </c>
    </row>
    <row r="37" spans="1:43" x14ac:dyDescent="0.35">
      <c r="A37" t="s">
        <v>26</v>
      </c>
      <c r="B37">
        <v>1000</v>
      </c>
      <c r="C37">
        <v>800</v>
      </c>
      <c r="D37">
        <v>8200</v>
      </c>
      <c r="E37">
        <v>20400</v>
      </c>
      <c r="F37">
        <v>89900</v>
      </c>
      <c r="G37">
        <v>0</v>
      </c>
      <c r="H37">
        <v>0</v>
      </c>
      <c r="I37">
        <v>0</v>
      </c>
      <c r="J37">
        <v>0</v>
      </c>
      <c r="K37">
        <v>625300</v>
      </c>
      <c r="L37">
        <v>44600</v>
      </c>
      <c r="M37">
        <v>7200</v>
      </c>
      <c r="O37" s="2">
        <f t="shared" si="0"/>
        <v>1.2540757461750689E-3</v>
      </c>
      <c r="P37" s="2">
        <f t="shared" si="1"/>
        <v>1.0045203415369162E-3</v>
      </c>
      <c r="Q37" s="2">
        <f t="shared" si="2"/>
        <v>1.0306686761028951E-2</v>
      </c>
      <c r="R37" s="2">
        <f t="shared" si="3"/>
        <v>0.78417356408327066</v>
      </c>
      <c r="AN37" s="9" t="s">
        <v>26</v>
      </c>
      <c r="AO37" s="10">
        <v>1.2999999999999999E-3</v>
      </c>
      <c r="AP37" s="10">
        <v>1.2385730930192461E-2</v>
      </c>
      <c r="AQ37" s="10">
        <f t="shared" si="4"/>
        <v>-1.108573093019246E-2</v>
      </c>
    </row>
    <row r="38" spans="1:43" x14ac:dyDescent="0.35">
      <c r="A38" t="s">
        <v>64</v>
      </c>
      <c r="B38">
        <v>50400</v>
      </c>
      <c r="C38">
        <v>24000</v>
      </c>
      <c r="D38">
        <v>199800</v>
      </c>
      <c r="E38">
        <v>70300</v>
      </c>
      <c r="F38">
        <v>833500</v>
      </c>
      <c r="G38">
        <v>700</v>
      </c>
      <c r="H38">
        <v>100</v>
      </c>
      <c r="I38">
        <v>0</v>
      </c>
      <c r="J38">
        <v>0</v>
      </c>
      <c r="K38">
        <v>8881400</v>
      </c>
      <c r="L38">
        <v>196200</v>
      </c>
      <c r="M38">
        <v>60900</v>
      </c>
      <c r="O38" s="2">
        <f t="shared" si="0"/>
        <v>4.8849989822918787E-3</v>
      </c>
      <c r="P38" s="2">
        <f t="shared" si="1"/>
        <v>2.3376092101802881E-3</v>
      </c>
      <c r="Q38" s="2">
        <f t="shared" si="2"/>
        <v>1.9506194525448092E-2</v>
      </c>
      <c r="R38" s="2">
        <f t="shared" si="3"/>
        <v>0.86082599129617243</v>
      </c>
      <c r="AN38" s="9" t="s">
        <v>64</v>
      </c>
      <c r="AO38" s="10">
        <v>4.8999999999999998E-3</v>
      </c>
      <c r="AP38" s="10">
        <v>1.2385730930192461E-2</v>
      </c>
      <c r="AQ38" s="10">
        <f t="shared" si="4"/>
        <v>-7.4857309301924607E-3</v>
      </c>
    </row>
    <row r="39" spans="1:43" x14ac:dyDescent="0.35">
      <c r="A39" t="s">
        <v>65</v>
      </c>
      <c r="B39">
        <v>22800</v>
      </c>
      <c r="C39">
        <v>33000</v>
      </c>
      <c r="D39">
        <v>56400</v>
      </c>
      <c r="E39">
        <v>63100</v>
      </c>
      <c r="F39">
        <v>352400</v>
      </c>
      <c r="G39">
        <v>1800</v>
      </c>
      <c r="H39">
        <v>200</v>
      </c>
      <c r="I39">
        <v>0</v>
      </c>
      <c r="J39">
        <v>0</v>
      </c>
      <c r="K39">
        <v>3567500</v>
      </c>
      <c r="L39">
        <v>145700</v>
      </c>
      <c r="M39">
        <v>45000</v>
      </c>
      <c r="O39" s="2">
        <f t="shared" si="0"/>
        <v>5.3172881830266562E-3</v>
      </c>
      <c r="P39" s="2">
        <f t="shared" si="1"/>
        <v>7.7372160090033058E-3</v>
      </c>
      <c r="Q39" s="2">
        <f t="shared" si="2"/>
        <v>1.3326717215835638E-2</v>
      </c>
      <c r="R39" s="2">
        <f t="shared" si="3"/>
        <v>0.83199235056787701</v>
      </c>
      <c r="AN39" s="9" t="s">
        <v>65</v>
      </c>
      <c r="AO39" s="10">
        <v>5.3E-3</v>
      </c>
      <c r="AP39" s="10">
        <v>1.2385730930192461E-2</v>
      </c>
      <c r="AQ39" s="10">
        <f t="shared" si="4"/>
        <v>-7.0857309301924605E-3</v>
      </c>
    </row>
    <row r="40" spans="1:43" x14ac:dyDescent="0.35">
      <c r="A40" t="s">
        <v>66</v>
      </c>
      <c r="B40">
        <v>64400</v>
      </c>
      <c r="C40">
        <v>28800</v>
      </c>
      <c r="D40">
        <v>156900</v>
      </c>
      <c r="E40">
        <v>55500</v>
      </c>
      <c r="F40">
        <v>184600</v>
      </c>
      <c r="G40">
        <v>100</v>
      </c>
      <c r="H40">
        <v>100</v>
      </c>
      <c r="I40">
        <v>0</v>
      </c>
      <c r="J40">
        <v>0</v>
      </c>
      <c r="K40">
        <v>3074300</v>
      </c>
      <c r="L40">
        <v>217000</v>
      </c>
      <c r="M40">
        <v>51000</v>
      </c>
      <c r="O40" s="2">
        <f t="shared" si="0"/>
        <v>1.6802776110835704E-2</v>
      </c>
      <c r="P40" s="2">
        <f t="shared" si="1"/>
        <v>7.6427036064007645E-3</v>
      </c>
      <c r="Q40" s="2">
        <f t="shared" si="2"/>
        <v>4.1957480758122168E-2</v>
      </c>
      <c r="R40" s="2">
        <f t="shared" si="3"/>
        <v>0.80212382915438207</v>
      </c>
      <c r="AN40" s="9" t="s">
        <v>66</v>
      </c>
      <c r="AO40" s="10">
        <v>1.6799999999999999E-2</v>
      </c>
      <c r="AP40" s="10">
        <v>1.2385730930192461E-2</v>
      </c>
      <c r="AQ40" s="10">
        <f t="shared" si="4"/>
        <v>4.4142690698075384E-3</v>
      </c>
    </row>
    <row r="41" spans="1:43" x14ac:dyDescent="0.35">
      <c r="A41" t="s">
        <v>67</v>
      </c>
      <c r="B41">
        <v>70200</v>
      </c>
      <c r="C41">
        <v>38900</v>
      </c>
      <c r="D41">
        <v>245400</v>
      </c>
      <c r="E41">
        <v>73900</v>
      </c>
      <c r="F41">
        <v>661700</v>
      </c>
      <c r="G41">
        <v>500</v>
      </c>
      <c r="H41">
        <v>100</v>
      </c>
      <c r="I41">
        <v>0</v>
      </c>
      <c r="J41">
        <v>0</v>
      </c>
      <c r="K41">
        <v>8886400</v>
      </c>
      <c r="L41">
        <v>192100</v>
      </c>
      <c r="M41">
        <v>41800</v>
      </c>
      <c r="O41" s="2">
        <f t="shared" si="0"/>
        <v>6.8749387914993632E-3</v>
      </c>
      <c r="P41" s="2">
        <f t="shared" si="1"/>
        <v>3.8359892710634271E-3</v>
      </c>
      <c r="Q41" s="2">
        <f t="shared" si="2"/>
        <v>2.4292459817756146E-2</v>
      </c>
      <c r="R41" s="2">
        <f t="shared" si="3"/>
        <v>0.87027715209088241</v>
      </c>
      <c r="AN41" s="9" t="s">
        <v>67</v>
      </c>
      <c r="AO41" s="10">
        <v>6.8999999999999999E-3</v>
      </c>
      <c r="AP41" s="10">
        <v>1.2385730930192461E-2</v>
      </c>
      <c r="AQ41" s="10">
        <f t="shared" si="4"/>
        <v>-5.4857309301924607E-3</v>
      </c>
    </row>
    <row r="42" spans="1:43" x14ac:dyDescent="0.35">
      <c r="A42" t="s">
        <v>68</v>
      </c>
      <c r="B42">
        <v>6400</v>
      </c>
      <c r="C42">
        <v>5100</v>
      </c>
      <c r="D42">
        <v>22100</v>
      </c>
      <c r="E42">
        <v>3100</v>
      </c>
      <c r="F42">
        <v>41900</v>
      </c>
      <c r="G42">
        <v>0</v>
      </c>
      <c r="H42">
        <v>0</v>
      </c>
      <c r="I42">
        <v>0</v>
      </c>
      <c r="J42">
        <v>0</v>
      </c>
      <c r="K42">
        <v>782000</v>
      </c>
      <c r="L42">
        <v>11000</v>
      </c>
      <c r="M42">
        <v>6000</v>
      </c>
      <c r="O42" s="2">
        <f t="shared" si="0"/>
        <v>7.2926162260711028E-3</v>
      </c>
      <c r="P42" s="2">
        <f t="shared" si="1"/>
        <v>5.8539944903581269E-3</v>
      </c>
      <c r="Q42" s="2">
        <f t="shared" si="2"/>
        <v>2.5516683770830873E-2</v>
      </c>
      <c r="R42" s="2">
        <f t="shared" si="3"/>
        <v>0.89106654512306294</v>
      </c>
      <c r="AN42" s="9" t="s">
        <v>68</v>
      </c>
      <c r="AO42" s="10">
        <v>7.3000000000000001E-3</v>
      </c>
      <c r="AP42" s="10">
        <v>1.2385730930192461E-2</v>
      </c>
      <c r="AQ42" s="10">
        <f t="shared" si="4"/>
        <v>-5.0857309301924605E-3</v>
      </c>
    </row>
    <row r="43" spans="1:43" x14ac:dyDescent="0.35">
      <c r="A43" t="s">
        <v>69</v>
      </c>
      <c r="B43">
        <v>20900</v>
      </c>
      <c r="C43">
        <v>9000</v>
      </c>
      <c r="D43">
        <v>83100</v>
      </c>
      <c r="E43">
        <v>44600</v>
      </c>
      <c r="F43">
        <v>404600</v>
      </c>
      <c r="G43">
        <v>100</v>
      </c>
      <c r="H43">
        <v>100</v>
      </c>
      <c r="I43">
        <v>0</v>
      </c>
      <c r="J43">
        <v>0</v>
      </c>
      <c r="K43">
        <v>4325000</v>
      </c>
      <c r="L43">
        <v>110100</v>
      </c>
      <c r="M43">
        <v>44900</v>
      </c>
      <c r="O43" s="2">
        <f t="shared" si="0"/>
        <v>4.1448516579406635E-3</v>
      </c>
      <c r="P43" s="2">
        <f t="shared" si="1"/>
        <v>1.7922931395001494E-3</v>
      </c>
      <c r="Q43" s="2">
        <f t="shared" si="2"/>
        <v>1.6578553602251241E-2</v>
      </c>
      <c r="R43" s="2">
        <f t="shared" si="3"/>
        <v>0.8577264794542282</v>
      </c>
      <c r="AN43" s="9" t="s">
        <v>69</v>
      </c>
      <c r="AO43" s="10">
        <v>4.1000000000000003E-3</v>
      </c>
      <c r="AP43" s="10">
        <v>1.2385730930192461E-2</v>
      </c>
      <c r="AQ43" s="10">
        <f t="shared" si="4"/>
        <v>-8.2857309301924593E-3</v>
      </c>
    </row>
    <row r="44" spans="1:43" x14ac:dyDescent="0.35">
      <c r="A44" t="s">
        <v>37</v>
      </c>
      <c r="B44">
        <v>1700</v>
      </c>
      <c r="C44">
        <v>1300</v>
      </c>
      <c r="D44">
        <v>11900</v>
      </c>
      <c r="E44">
        <v>21500</v>
      </c>
      <c r="F44">
        <v>98800</v>
      </c>
      <c r="G44">
        <v>0</v>
      </c>
      <c r="H44">
        <v>0</v>
      </c>
      <c r="I44">
        <v>0</v>
      </c>
      <c r="J44">
        <v>0</v>
      </c>
      <c r="K44">
        <v>718300</v>
      </c>
      <c r="L44">
        <v>51200</v>
      </c>
      <c r="M44">
        <v>13300</v>
      </c>
      <c r="O44" s="2">
        <f t="shared" si="0"/>
        <v>1.8518518518518519E-3</v>
      </c>
      <c r="P44" s="2">
        <f t="shared" si="1"/>
        <v>1.4187493179089819E-3</v>
      </c>
      <c r="Q44" s="2">
        <f t="shared" si="2"/>
        <v>1.3005464454552794E-2</v>
      </c>
      <c r="R44" s="2">
        <f t="shared" si="3"/>
        <v>0.78246187363834419</v>
      </c>
      <c r="AN44" s="9" t="s">
        <v>37</v>
      </c>
      <c r="AO44" s="10">
        <v>1.9E-3</v>
      </c>
      <c r="AP44" s="10">
        <v>1.2385730930192461E-2</v>
      </c>
      <c r="AQ44" s="10">
        <f t="shared" si="4"/>
        <v>-1.048573093019246E-2</v>
      </c>
    </row>
    <row r="45" spans="1:43" x14ac:dyDescent="0.35">
      <c r="A45" t="s">
        <v>70</v>
      </c>
      <c r="B45">
        <v>33200</v>
      </c>
      <c r="C45">
        <v>11000</v>
      </c>
      <c r="D45">
        <v>113300</v>
      </c>
      <c r="E45">
        <v>53100</v>
      </c>
      <c r="F45">
        <v>509000</v>
      </c>
      <c r="G45">
        <v>200</v>
      </c>
      <c r="H45">
        <v>100</v>
      </c>
      <c r="I45">
        <v>0</v>
      </c>
      <c r="J45">
        <v>0</v>
      </c>
      <c r="K45">
        <v>5620500</v>
      </c>
      <c r="L45">
        <v>160700</v>
      </c>
      <c r="M45">
        <v>37700</v>
      </c>
      <c r="O45" s="2">
        <f t="shared" si="0"/>
        <v>5.0773842295222362E-3</v>
      </c>
      <c r="P45" s="2">
        <f t="shared" si="1"/>
        <v>1.6908509591736351E-3</v>
      </c>
      <c r="Q45" s="2">
        <f t="shared" si="2"/>
        <v>1.7445262204204063E-2</v>
      </c>
      <c r="R45" s="2">
        <f t="shared" si="3"/>
        <v>0.85956138741053401</v>
      </c>
      <c r="AN45" s="9" t="s">
        <v>70</v>
      </c>
      <c r="AO45" s="10">
        <v>5.1000000000000004E-3</v>
      </c>
      <c r="AP45" s="10">
        <v>1.2385730930192461E-2</v>
      </c>
      <c r="AQ45" s="10">
        <f t="shared" si="4"/>
        <v>-7.2857309301924602E-3</v>
      </c>
    </row>
    <row r="46" spans="1:43" x14ac:dyDescent="0.35">
      <c r="A46" t="s">
        <v>30</v>
      </c>
      <c r="B46">
        <v>230100</v>
      </c>
      <c r="C46">
        <v>55300</v>
      </c>
      <c r="D46">
        <v>445100</v>
      </c>
      <c r="E46">
        <v>460700</v>
      </c>
      <c r="F46">
        <v>2315400</v>
      </c>
      <c r="G46">
        <v>1300</v>
      </c>
      <c r="H46">
        <v>1300</v>
      </c>
      <c r="I46">
        <v>0</v>
      </c>
      <c r="J46">
        <v>0</v>
      </c>
      <c r="K46">
        <v>21392800</v>
      </c>
      <c r="L46">
        <v>772800</v>
      </c>
      <c r="M46">
        <v>121800</v>
      </c>
      <c r="O46" s="2">
        <f t="shared" si="0"/>
        <v>8.9197801260631239E-3</v>
      </c>
      <c r="P46" s="2">
        <f t="shared" si="1"/>
        <v>2.1629867209043085E-3</v>
      </c>
      <c r="Q46" s="2">
        <f t="shared" si="2"/>
        <v>1.7447238853694633E-2</v>
      </c>
      <c r="R46" s="2">
        <f t="shared" si="3"/>
        <v>0.82928758053386875</v>
      </c>
      <c r="AN46" s="9" t="s">
        <v>30</v>
      </c>
      <c r="AO46" s="10">
        <v>8.8999999999999999E-3</v>
      </c>
      <c r="AP46" s="10">
        <v>1.2385730930192461E-2</v>
      </c>
      <c r="AQ46" s="10">
        <f t="shared" si="4"/>
        <v>-3.4857309301924606E-3</v>
      </c>
    </row>
    <row r="47" spans="1:43" x14ac:dyDescent="0.35">
      <c r="A47" t="s">
        <v>71</v>
      </c>
      <c r="B47">
        <v>40000</v>
      </c>
      <c r="C47">
        <v>13000</v>
      </c>
      <c r="D47">
        <v>83200</v>
      </c>
      <c r="E47">
        <v>68500</v>
      </c>
      <c r="F47">
        <v>185200</v>
      </c>
      <c r="G47">
        <v>2200</v>
      </c>
      <c r="H47">
        <v>500</v>
      </c>
      <c r="I47">
        <v>0</v>
      </c>
      <c r="J47">
        <v>0</v>
      </c>
      <c r="K47">
        <v>2499600</v>
      </c>
      <c r="L47">
        <v>158000</v>
      </c>
      <c r="M47">
        <v>26000</v>
      </c>
      <c r="O47" s="2">
        <f t="shared" si="0"/>
        <v>1.3003055718093752E-2</v>
      </c>
      <c r="P47" s="2">
        <f t="shared" si="1"/>
        <v>4.2816678743165804E-3</v>
      </c>
      <c r="Q47" s="2">
        <f t="shared" si="2"/>
        <v>2.7520507952550045E-2</v>
      </c>
      <c r="R47" s="2">
        <f t="shared" si="3"/>
        <v>0.8125609518236786</v>
      </c>
      <c r="AN47" s="9" t="s">
        <v>71</v>
      </c>
      <c r="AO47" s="10">
        <v>1.2999999999999999E-2</v>
      </c>
      <c r="AP47" s="10">
        <v>1.2385730930192461E-2</v>
      </c>
      <c r="AQ47" s="10">
        <f t="shared" si="4"/>
        <v>6.1426906980753884E-4</v>
      </c>
    </row>
    <row r="48" spans="1:43" x14ac:dyDescent="0.35">
      <c r="A48" t="s">
        <v>72</v>
      </c>
      <c r="B48">
        <v>7800</v>
      </c>
      <c r="C48">
        <v>5700</v>
      </c>
      <c r="D48">
        <v>20300</v>
      </c>
      <c r="E48">
        <v>7000</v>
      </c>
      <c r="F48">
        <v>36600</v>
      </c>
      <c r="G48">
        <v>0</v>
      </c>
      <c r="H48">
        <v>0</v>
      </c>
      <c r="I48">
        <v>0</v>
      </c>
      <c r="J48">
        <v>0</v>
      </c>
      <c r="K48">
        <v>496000</v>
      </c>
      <c r="L48">
        <v>14700</v>
      </c>
      <c r="M48">
        <v>5000</v>
      </c>
      <c r="O48" s="2">
        <f t="shared" si="0"/>
        <v>1.3151239251390997E-2</v>
      </c>
      <c r="P48" s="2">
        <f t="shared" si="1"/>
        <v>9.7385955920041012E-3</v>
      </c>
      <c r="Q48" s="2">
        <f t="shared" si="2"/>
        <v>3.5024153794666966E-2</v>
      </c>
      <c r="R48" s="2">
        <f t="shared" si="3"/>
        <v>0.83628393188332495</v>
      </c>
      <c r="AN48" s="9" t="s">
        <v>72</v>
      </c>
      <c r="AO48" s="10">
        <v>1.32E-2</v>
      </c>
      <c r="AP48" s="10">
        <v>1.2385730930192461E-2</v>
      </c>
      <c r="AQ48" s="10">
        <f t="shared" si="4"/>
        <v>8.1426906980753937E-4</v>
      </c>
    </row>
    <row r="49" spans="1:43" x14ac:dyDescent="0.35">
      <c r="A49" t="s">
        <v>73</v>
      </c>
      <c r="B49">
        <v>84900</v>
      </c>
      <c r="C49">
        <v>26800</v>
      </c>
      <c r="D49">
        <v>229400</v>
      </c>
      <c r="E49">
        <v>44300</v>
      </c>
      <c r="F49">
        <v>484800</v>
      </c>
      <c r="G49">
        <v>300</v>
      </c>
      <c r="H49">
        <v>0</v>
      </c>
      <c r="I49">
        <v>0</v>
      </c>
      <c r="J49">
        <v>0</v>
      </c>
      <c r="K49">
        <v>6670000</v>
      </c>
      <c r="L49">
        <v>152800</v>
      </c>
      <c r="M49">
        <v>30200</v>
      </c>
      <c r="O49" s="2">
        <f t="shared" si="0"/>
        <v>1.0992425713730821E-2</v>
      </c>
      <c r="P49" s="2">
        <f t="shared" si="1"/>
        <v>3.5084963213154242E-3</v>
      </c>
      <c r="Q49" s="2">
        <f t="shared" si="2"/>
        <v>3.0137418175558563E-2</v>
      </c>
      <c r="R49" s="2">
        <f t="shared" si="3"/>
        <v>0.86359810966530715</v>
      </c>
      <c r="AN49" s="9" t="s">
        <v>73</v>
      </c>
      <c r="AO49" s="10">
        <v>1.0999999999999999E-2</v>
      </c>
      <c r="AP49" s="10">
        <v>1.2385730930192461E-2</v>
      </c>
      <c r="AQ49" s="10">
        <f t="shared" si="4"/>
        <v>-1.3857309301924612E-3</v>
      </c>
    </row>
    <row r="50" spans="1:43" x14ac:dyDescent="0.35">
      <c r="A50" t="s">
        <v>36</v>
      </c>
      <c r="B50">
        <v>152100</v>
      </c>
      <c r="C50">
        <v>41200</v>
      </c>
      <c r="D50">
        <v>307200</v>
      </c>
      <c r="E50">
        <v>73800</v>
      </c>
      <c r="F50">
        <v>337700</v>
      </c>
      <c r="G50">
        <v>100</v>
      </c>
      <c r="H50">
        <v>100</v>
      </c>
      <c r="I50">
        <v>0</v>
      </c>
      <c r="J50">
        <v>0</v>
      </c>
      <c r="K50">
        <v>5583000</v>
      </c>
      <c r="L50">
        <v>274200</v>
      </c>
      <c r="M50">
        <v>46700</v>
      </c>
      <c r="O50" s="2">
        <f t="shared" si="0"/>
        <v>2.2314813456375347E-2</v>
      </c>
      <c r="P50" s="2">
        <f t="shared" si="1"/>
        <v>6.1824729891956781E-3</v>
      </c>
      <c r="Q50" s="2">
        <f t="shared" si="2"/>
        <v>4.6385214556520289E-2</v>
      </c>
      <c r="R50" s="2">
        <f t="shared" si="3"/>
        <v>0.81909009550916212</v>
      </c>
      <c r="AN50" s="9" t="s">
        <v>36</v>
      </c>
      <c r="AO50" s="10">
        <v>2.23E-2</v>
      </c>
      <c r="AP50" s="10">
        <v>1.2385730930192461E-2</v>
      </c>
      <c r="AQ50" s="10">
        <f t="shared" si="4"/>
        <v>9.9142690698075398E-3</v>
      </c>
    </row>
    <row r="51" spans="1:43" x14ac:dyDescent="0.35">
      <c r="A51" t="s">
        <v>40</v>
      </c>
      <c r="B51">
        <v>2800</v>
      </c>
      <c r="C51">
        <v>1800</v>
      </c>
      <c r="D51">
        <v>22400</v>
      </c>
      <c r="E51">
        <v>17300</v>
      </c>
      <c r="F51">
        <v>123400</v>
      </c>
      <c r="G51">
        <v>100</v>
      </c>
      <c r="H51">
        <v>0</v>
      </c>
      <c r="I51">
        <v>0</v>
      </c>
      <c r="J51">
        <v>0</v>
      </c>
      <c r="K51">
        <v>1281500</v>
      </c>
      <c r="L51">
        <v>46400</v>
      </c>
      <c r="M51">
        <v>15200</v>
      </c>
      <c r="O51" s="2">
        <f t="shared" si="0"/>
        <v>1.8532000794228606E-3</v>
      </c>
      <c r="P51" s="2">
        <f t="shared" si="1"/>
        <v>1.1935548040580863E-3</v>
      </c>
      <c r="Q51" s="2">
        <f t="shared" si="2"/>
        <v>1.4870875637284267E-2</v>
      </c>
      <c r="R51" s="2">
        <f t="shared" si="3"/>
        <v>0.84816996492156993</v>
      </c>
      <c r="AN51" s="9" t="s">
        <v>40</v>
      </c>
      <c r="AO51" s="10">
        <v>1.9E-3</v>
      </c>
      <c r="AP51" s="10">
        <v>1.2385730930192461E-2</v>
      </c>
      <c r="AQ51" s="10">
        <f t="shared" si="4"/>
        <v>-1.048573093019246E-2</v>
      </c>
    </row>
    <row r="52" spans="1:43" x14ac:dyDescent="0.35">
      <c r="A52" t="s">
        <v>74</v>
      </c>
      <c r="B52">
        <v>24900</v>
      </c>
      <c r="C52">
        <v>12500</v>
      </c>
      <c r="D52">
        <v>123600</v>
      </c>
      <c r="E52">
        <v>52900</v>
      </c>
      <c r="F52">
        <v>536200</v>
      </c>
      <c r="G52">
        <v>300</v>
      </c>
      <c r="H52">
        <v>0</v>
      </c>
      <c r="I52">
        <v>0</v>
      </c>
      <c r="J52">
        <v>0</v>
      </c>
      <c r="K52">
        <v>4604700</v>
      </c>
      <c r="L52">
        <v>147500</v>
      </c>
      <c r="M52">
        <v>26400</v>
      </c>
      <c r="O52" s="2">
        <f t="shared" si="0"/>
        <v>4.5035268583830711E-3</v>
      </c>
      <c r="P52" s="2">
        <f t="shared" si="1"/>
        <v>2.271034319870642E-3</v>
      </c>
      <c r="Q52" s="2">
        <f t="shared" si="2"/>
        <v>2.2507101736950738E-2</v>
      </c>
      <c r="R52" s="2">
        <f t="shared" si="3"/>
        <v>0.83282691264243081</v>
      </c>
      <c r="AN52" s="9" t="s">
        <v>74</v>
      </c>
      <c r="AO52" s="10">
        <v>4.4999999999999997E-3</v>
      </c>
      <c r="AP52" s="10">
        <v>1.2385730930192461E-2</v>
      </c>
      <c r="AQ52" s="10">
        <f t="shared" si="4"/>
        <v>-7.8857309301924618E-3</v>
      </c>
    </row>
    <row r="53" spans="1:43" x14ac:dyDescent="0.35">
      <c r="A53" t="s">
        <v>33</v>
      </c>
      <c r="B53">
        <v>1100</v>
      </c>
      <c r="C53">
        <v>800</v>
      </c>
      <c r="D53">
        <v>8400</v>
      </c>
      <c r="E53">
        <v>21200</v>
      </c>
      <c r="F53">
        <v>57700</v>
      </c>
      <c r="G53">
        <v>0</v>
      </c>
      <c r="H53">
        <v>0</v>
      </c>
      <c r="I53">
        <v>0</v>
      </c>
      <c r="J53">
        <v>0</v>
      </c>
      <c r="K53">
        <v>489100</v>
      </c>
      <c r="L53">
        <v>60900</v>
      </c>
      <c r="M53">
        <v>13700</v>
      </c>
      <c r="O53" s="2">
        <f t="shared" si="0"/>
        <v>1.6847909327615256E-3</v>
      </c>
      <c r="P53" s="2">
        <f t="shared" si="1"/>
        <v>1.22737035900583E-3</v>
      </c>
      <c r="Q53" s="2">
        <f t="shared" si="2"/>
        <v>1.2903225773058006E-2</v>
      </c>
      <c r="R53" s="2">
        <f t="shared" si="3"/>
        <v>0.74911931383060193</v>
      </c>
      <c r="AN53" s="9" t="s">
        <v>33</v>
      </c>
      <c r="AO53" s="10">
        <v>1.6999999999999999E-3</v>
      </c>
      <c r="AP53" s="10">
        <v>1.2385730930192461E-2</v>
      </c>
      <c r="AQ53" s="10">
        <f t="shared" si="4"/>
        <v>-1.068573093019246E-2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Result_verifications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Alexandru</dc:creator>
  <cp:lastModifiedBy>Gabor Alexandru</cp:lastModifiedBy>
  <dcterms:created xsi:type="dcterms:W3CDTF">2026-02-26T15:10:44Z</dcterms:created>
  <dcterms:modified xsi:type="dcterms:W3CDTF">2026-02-26T19:35:04Z</dcterms:modified>
</cp:coreProperties>
</file>